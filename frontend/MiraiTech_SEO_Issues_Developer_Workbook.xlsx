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EADME" sheetId="1" r:id="rId5"/>
    <sheet state="visible" name="2. Issues Master" sheetId="2" r:id="rId6"/>
    <sheet state="visible" name="3. Developer Fixes" sheetId="3" r:id="rId7"/>
    <sheet state="visible" name="4. Redirect Map" sheetId="4" r:id="rId8"/>
    <sheet state="visible" name="5. Metadata Fixes" sheetId="5" r:id="rId9"/>
    <sheet state="visible" name="6. Schema Checklist" sheetId="6" r:id="rId10"/>
    <sheet state="visible" name="7. Verification Tasks" sheetId="7" r:id="rId11"/>
  </sheets>
  <definedNames>
    <definedName hidden="1" localSheetId="1" name="_xlnm._FilterDatabase">'2. Issues Master'!$A$1:$H$24</definedName>
    <definedName hidden="1" localSheetId="2" name="_xlnm._FilterDatabase">'3. Developer Fixes'!$A$1:$F$22</definedName>
    <definedName hidden="1" localSheetId="4" name="_xlnm._FilterDatabase">'5. Metadata Fixes'!$A$1:$E$9</definedName>
    <definedName hidden="1" localSheetId="6" name="_xlnm._FilterDatabase">'7. Verification Tasks'!$A$1:$F$13</definedName>
  </definedNames>
  <calcPr/>
</workbook>
</file>

<file path=xl/sharedStrings.xml><?xml version="1.0" encoding="utf-8"?>
<sst xmlns="http://schemas.openxmlformats.org/spreadsheetml/2006/main" count="556" uniqueCount="408">
  <si>
    <t>MIRAI TECHNOLOGIES (miraitechnologies.net) — SEO ISSUES &amp; DEVELOPER FIX WORKBOOK</t>
  </si>
  <si>
    <t>Prepared by errorr.in | Audit date: 16 July 2026 | Method: live crawl of homepage, /products, /about, product detail, city page, /blog + Google index checks</t>
  </si>
  <si>
    <t>HOW TO USE THIS WORKBOOK</t>
  </si>
  <si>
    <t>Sheet 2 — Issues Master</t>
  </si>
  <si>
    <t>Every issue found, with evidence, impact and priority. Filter by Priority or Status. This is the single source of truth.</t>
  </si>
  <si>
    <t>Sheet 3 — Developer Fixes</t>
  </si>
  <si>
    <t>Implementation spec per issue: what to change, how, and the acceptance test that proves it is fixed. Work top-down by priority.</t>
  </si>
  <si>
    <t>Sheet 4 — Redirect Map</t>
  </si>
  <si>
    <t>Legacy .php URLs to be 301-mapped. Yellow cells = fill in from Google Search Console before implementing.</t>
  </si>
  <si>
    <t>Sheet 5 — Metadata Fixes</t>
  </si>
  <si>
    <t>Current vs proposed title tags, meta descriptions and H1s for the pages sampled. Apply the same rules to all pages of that template.</t>
  </si>
  <si>
    <t>Sheet 6 — Schema Checklist</t>
  </si>
  <si>
    <t>Required JSON-LD per template. Static HTML fetch cannot verify JS-injected schema, so every row must be validated with Google's Rich Results Test.</t>
  </si>
  <si>
    <t>Sheet 7 — Verification Tasks</t>
  </si>
  <si>
    <t>Items that could not be confirmed remotely (robots.txt, sitemap, GSC coverage). Developer to run these checks and update Status.</t>
  </si>
  <si>
    <t>PRIORITY DEFINITIONS</t>
  </si>
  <si>
    <t>P0 — Critical</t>
  </si>
  <si>
    <t>Blocks or damages indexation/rankings site-wide. Fix within 1 week.</t>
  </si>
  <si>
    <t>P1 — High</t>
  </si>
  <si>
    <t>Materially hurts rankings, crawling or click-through. Fix within 2–3 weeks.</t>
  </si>
  <si>
    <t>P2 — Medium</t>
  </si>
  <si>
    <t>Quality, trust and consistency issues. Fix within 30–45 days.</t>
  </si>
  <si>
    <t>PASS</t>
  </si>
  <si>
    <t>Checked and working correctly — no action needed, listed so you know it was audited.</t>
  </si>
  <si>
    <t>STATUS VALUES (developer updates the Status column as work progresses)</t>
  </si>
  <si>
    <t>Confirmed</t>
  </si>
  <si>
    <t>Issue verified in live HTML during this audit.</t>
  </si>
  <si>
    <t>Needs verification</t>
  </si>
  <si>
    <t>Could not be confirmed remotely; run the check described in Sheet 7 first.</t>
  </si>
  <si>
    <t>In progress / Fixed / Won't fix</t>
  </si>
  <si>
    <t>Developer-updated states.</t>
  </si>
  <si>
    <t>CONTEXT THE DEVELOPER MUST KNOW</t>
  </si>
  <si>
    <t>1.</t>
  </si>
  <si>
    <t>The site is a React SPA with pre-rendered/SSR HTML now live (confirmed on all sampled routes). SSR/prerender parity is a standing hard requirement: every meta tag, canonical, schema block and body content must exist in the server-delivered HTML, not only after hydration.</t>
  </si>
  <si>
    <t>2.</t>
  </si>
  <si>
    <t>The old PHP site's URLs (e.g. /brands.php) are still in Google's index under www.miraitechnologies.net with stale titles. Redirects exist (brands.php 301s to /about) but the full legacy URL set must be mapped and monitored in GSC until it drops out of the index.</t>
  </si>
  <si>
    <t>3.</t>
  </si>
  <si>
    <t>Do not remove or noindex any /products/*, /product/*, /blog/* or /electronic-component-distributor-in-* URL without checking the Redirect Map sheet first.</t>
  </si>
  <si>
    <t>ISSUE COUNTS</t>
  </si>
  <si>
    <t>PASS (audited OK)</t>
  </si>
  <si>
    <t>ID</t>
  </si>
  <si>
    <t>Category</t>
  </si>
  <si>
    <t>Scope / Example URL</t>
  </si>
  <si>
    <t>Issue</t>
  </si>
  <si>
    <t>Evidence (found during audit, 16 Jul 2026)</t>
  </si>
  <si>
    <t>Priority</t>
  </si>
  <si>
    <t>SEO Impact</t>
  </si>
  <si>
    <t>Status</t>
  </si>
  <si>
    <t>SEO-01</t>
  </si>
  <si>
    <t>Indexation / Legacy site</t>
  </si>
  <si>
    <t>www.miraitechnologies.net/*.php (site-wide)</t>
  </si>
  <si>
    <t>Legacy PHP URLs from the old website are still in Google's index, under the www host, showing the old brand title ('Igniting Innovation, Driving Excellence…').</t>
  </si>
  <si>
    <t>Google search surfaced www.miraitechnologies.net/brands.php with the old site's title and content in its cached snippet. Fetching it 301-redirects to https://miraitechnologies.net/about — so redirects exist, but Google has not yet refreshed/dropped the stale entries, and the redirect target (/about) is a weak topical match for a brands/products page.</t>
  </si>
  <si>
    <t>P0</t>
  </si>
  <si>
    <t>Stale results dilute brand SERP, split signals between www and non-www, and legacy URLs may be soaking up crawl budget. Until the old URLs are recrawled, they compete with the new pages.</t>
  </si>
  <si>
    <t>SEO-02</t>
  </si>
  <si>
    <t>Host canonicalization</t>
  </si>
  <si>
    <t>www vs non-www, http vs https (site-wide)</t>
  </si>
  <si>
    <t>www/non-www and http/https consolidation must be verified for ALL paths, not just the homepage.</t>
  </si>
  <si>
    <t>New site canonicals all point to non-www https. But the indexed www .php page proves Google historically crawled the www host. Every combination (http://www, https://www, http://) must 301 in a single hop to https://miraitechnologies.net equivalent.</t>
  </si>
  <si>
    <t>Split host signals halve link equity and create duplicate-content ambiguity.</t>
  </si>
  <si>
    <t>SEO-03</t>
  </si>
  <si>
    <t>Crawlability</t>
  </si>
  <si>
    <t>https://miraitechnologies.net/robots.txt</t>
  </si>
  <si>
    <t>robots.txt could not be confirmed. Must exist, must reference the XML sitemap, and should disallow /cdn-cgi/ (Cloudflare email-protection URLs found linked in page HTML).</t>
  </si>
  <si>
    <t>City pages link email addresses to /cdn-cgi/l/email-protection (Cloudflare Scrape Shield). These utility URLs are crawlable links in the HTML.</t>
  </si>
  <si>
    <t>A missing/misconfigured robots.txt during a replatform is the classic cause of re-indexation failure; /cdn-cgi/ URLs waste crawl budget.</t>
  </si>
  <si>
    <t>SEO-04</t>
  </si>
  <si>
    <t>Indexation</t>
  </si>
  <si>
    <t>https://miraitechnologies.net/sitemap.xml</t>
  </si>
  <si>
    <t>XML sitemap existence, completeness and GSC submission unverified. Must contain ALL canonical URLs: homepage, 7 category pages, ~85 product pages, all city pages, 20 blog articles, about, contact, market-area.</t>
  </si>
  <si>
    <t>Site was previously stuck at ~2 indexed URLs due to the empty React shell. Now that HTML is pre-rendered, a complete sitemap + GSC resubmission is the fastest path to full re-indexation.</t>
  </si>
  <si>
    <t>Without a submitted sitemap, re-indexation of 130+ URLs after the SSR fix will be slow and partial.</t>
  </si>
  <si>
    <t>SEO-05</t>
  </si>
  <si>
    <t>Structured data</t>
  </si>
  <si>
    <t>All templates</t>
  </si>
  <si>
    <t>Schema markup (JSON-LD) could not be detected in static HTML — but static fetch strips script tags, so this needs Rich Results Test validation per template. Product pages have price (₹195), MOQ, stock status and FAQs sitting in plain HTML — all unusable by Google unless marked up.</t>
  </si>
  <si>
    <t>Product page /product/mosfet-transistor/irfp4668 shows price, stock, MOQ, GST, FAQs in body text. No schema was verifiable via fetch. Requirement: Organization (site-wide), Product+Offer (product pages), FAQPage (product + city pages), BreadcrumbList (all), BlogPosting (articles), LocalBusiness (contact/city hub).</t>
  </si>
  <si>
    <t>No Product schema = no price/stock rich results; no FAQPage = no AEO/AI-answer eligibility. This is the single biggest missed CTR lever on the site.</t>
  </si>
  <si>
    <t>SEO-06</t>
  </si>
  <si>
    <t>URL architecture</t>
  </si>
  <si>
    <t>/product/* paths</t>
  </si>
  <si>
    <t>Product detail URLs use THREE inconsistent category path variants: /product/integrated-circuit/…, /product/integrated-circuits/… (plural) and /product/ic/… — for products in the same category.</t>
  </si>
  <si>
    <t>From /products catalog: LM358L-D08-T sits at /product/integrated-circuit/lm358ld08t while SN74HC541DWR sits at /product/integrated-circuits/sn74hc541dwr and NSIP83086CD sits at /product/ic/nsip83086cd. Category hub pages use singular /products/integrated-circuit.</t>
  </si>
  <si>
    <t>P1</t>
  </si>
  <si>
    <t>Splits topical clustering, creates messy crawl paths, and guarantees future duplicate-URL bugs. One canonical pattern must be enforced with 301s from the variants.</t>
  </si>
  <si>
    <t>SEO-07</t>
  </si>
  <si>
    <t>URL architecture / taxonomy</t>
  </si>
  <si>
    <t>/product/* categorization</t>
  </si>
  <si>
    <t>Products are filed under wrong categories in the URL path, breaking topical relevance.</t>
  </si>
  <si>
    <t>Examples from /products: L7824CV (a linear voltage regulator) under /product/mosfet-transistor/; CD4051BE (analog multiplexer) under /product/mosfet-transistor/; 20D511K (varistor) under /product/mosfet-transistor/; LM2596/LM2576 regulators under /product/transistor/; Si2302 (a MOSFET) under /product/integrated-circuits/; MB6S bridge rectifier under /product/integrated-circuits/. Meanwhile the /products/voltage-regulator category page has almost no products actually pathed to it.</t>
  </si>
  <si>
    <t>Category pages lose the SKUs that should reinforce them; regulator category is starved of its own products. Weakens the exact topical-cluster strategy the category descriptions were written for.</t>
  </si>
  <si>
    <t>SEO-08</t>
  </si>
  <si>
    <t>Duplicate content</t>
  </si>
  <si>
    <t>/product/transistor/lm2596r5 and /product/transistor/lm2596r5v2</t>
  </si>
  <si>
    <t>The same part (LM2596R-5) exists as two separate product URLs.</t>
  </si>
  <si>
    <t>Catalog lists 'LM2596R5 — LM2596R-5.0 5V Step-Down Regulator' and 'LM2596R5v2 — LM2596R-5 5V Buck Converter IC' as distinct pages.</t>
  </si>
  <si>
    <t>Classic duplicate content: the two pages cannibalize each other for 'LM2596R-5 buy India' queries. Merge into one URL, 301 the other.</t>
  </si>
  <si>
    <t>SEO-09</t>
  </si>
  <si>
    <t>Metadata generation bug</t>
  </si>
  <si>
    <t>Product + city page templates</t>
  </si>
  <si>
    <t>Title tags and meta descriptions are hard-truncated mid-word/mid-value by the template.</t>
  </si>
  <si>
    <t>Product page IRFP4668: meta description ends 'Rds(on)=3..' (value cut); title ends '…130A, Rds | Buy India' ('Rds' cut mid-spec). City page Bengaluru: meta description ends 'email sales@miraitec...' (email cut mid-address).</t>
  </si>
  <si>
    <t>Truncated snippets look broken in SERPs and kill CTR; a cut email address in the description actively misinforms. Truncation must respect word boundaries and drop trailing fragments.</t>
  </si>
  <si>
    <t>SEO-10</t>
  </si>
  <si>
    <t>On-page / template</t>
  </si>
  <si>
    <t>Homepage, /about (likely all non-city templates)</t>
  </si>
  <si>
    <t>H1 duplicates the full title tag verbatim — including the pipe and brand suffix.</t>
  </si>
  <si>
    <t>Homepage H1: 'Buy Electronic Components Online India | Mirai Technologies'. /about H1: 'About Mirai Technologies | Authorized Semiconductor Distributor'. H1s should be clean human-readable headings, not title strings.</t>
  </si>
  <si>
    <t>Pipe-and-brand H1s read as machine-generated (quality signal), waste H1 keyword focus, and signal the template renders one field into two slots.</t>
  </si>
  <si>
    <t>SEO-11</t>
  </si>
  <si>
    <t>Internal linking</t>
  </si>
  <si>
    <t>/products, /blog, /product/* templates</t>
  </si>
  <si>
    <t>Main navigation is inconsistent: 'Market Area' link present on homepage, /about and city pages, but MISSING from /products, /blog and product detail pages.</t>
  </si>
  <si>
    <t>Nav on /products and /blog: Home | About | Products | Blog | Contact. Nav on homepage: includes Market Area.</t>
  </si>
  <si>
    <t>The market-area hub (and 100+ city pages behind it) loses site-wide internal link equity from the deepest, most numerous templates (products). Inconsistent nav also fragments crawl paths.</t>
  </si>
  <si>
    <t>SEO-12</t>
  </si>
  <si>
    <t>Crawlability / E-E-A-T</t>
  </si>
  <si>
    <t>City pages + anywhere email appears</t>
  </si>
  <si>
    <t>Cloudflare email obfuscation replaces the real email with '[email protected]' in served HTML, linking to /cdn-cgi/l/email-protection.</t>
  </si>
  <si>
    <t>Bengaluru city page: all email mentions render as '[email protected]' to crawlers (and to AI search engines). The real address never appears in crawlable HTML.</t>
  </si>
  <si>
    <t>Search engines and AI answer engines cannot extract the business email — hurts NAP consistency, LocalBusiness schema validation and AEO citation. Expose the email in schema (ContactPoint) and/or disable Scrape Shield on key pages.</t>
  </si>
  <si>
    <t>SEO-13</t>
  </si>
  <si>
    <t>Content integrity</t>
  </si>
  <si>
    <t>/products vs category descriptions</t>
  </si>
  <si>
    <t>Contradictory inventory claims: /products header says '83+ genuine electronic components' while its own category blurbs claim 279+ ICs, 118+ MOSFETs, 181+ IC chips, 135+ components etc. (sums to 800+).</t>
  </si>
  <si>
    <t>Both statements appear on the same /products page. Actual products listed in the catalog: ~85.</t>
  </si>
  <si>
    <t>Contradictions on the same page undermine trust for both users and quality raters, and inflated counts adjacent to real counts look like manipulation. Pick one truthful number per scope.</t>
  </si>
  <si>
    <t>SEO-14</t>
  </si>
  <si>
    <t>Content quality / E-E-A-T</t>
  </si>
  <si>
    <t>/blog (all 20 articles)</t>
  </si>
  <si>
    <t>Every blog article shows the same publish date (2026-06-10) and no author bylines.</t>
  </si>
  <si>
    <t>All 20 listed articles: 'Published: 2026-06-10'. No author names, bios or dateModified anywhere on the blog index.</t>
  </si>
  <si>
    <t>P2</t>
  </si>
  <si>
    <t>Identical bulk-publish dates are a scaled-content footprint; missing authors is an E-E-A-T gap for YMYL-adjacent procurement advice. Add authors + stagger dateModified as articles are genuinely updated.</t>
  </si>
  <si>
    <t>SEO-15</t>
  </si>
  <si>
    <t>Metadata hygiene</t>
  </si>
  <si>
    <t>Site-wide templates</t>
  </si>
  <si>
    <t>Obsolete meta keywords tag present with an identical boilerplate string on every page.</t>
  </si>
  <si>
    <t>Same keyword string found verbatim on /products, product detail and /blog pages.</t>
  </si>
  <si>
    <t>Zero ranking value; identical boilerplate across templates is a low-quality template smell. Remove the tag.</t>
  </si>
  <si>
    <t>SEO-16</t>
  </si>
  <si>
    <t>Brand consistency</t>
  </si>
  <si>
    <t>City page titles</t>
  </si>
  <si>
    <t>Brand rendered as 'Mirai Tech' in city page titles but 'Mirai Technologies' everywhere else; city title also drops the word 'Electronic' from the target keyword.</t>
  </si>
  <si>
    <t>Bengaluru title: 'Component Distributor in Bengaluru | Mirai Tech' vs H1 'Electronic Component Distributor in Bengaluru — Power MOSFETs, IGBTs &amp; ICs'. Target query is 'electronic component distributor in bengaluru'.</t>
  </si>
  <si>
    <t>Title/H1/keyword misalignment on the highest-intent local template; inconsistent brand string weakens entity recognition.</t>
  </si>
  <si>
    <t>SEO-17</t>
  </si>
  <si>
    <t>NAP consistency</t>
  </si>
  <si>
    <t>Product pages vs city pages</t>
  </si>
  <si>
    <t>Two different phone numbers in use: +91 79429 64662 (WhatsApp CTA on product pages) vs +91 93213 98188 (city pages, all mentions).</t>
  </si>
  <si>
    <t>IRFP4668 page WhatsApp link uses 7942964662; Bengaluru page repeats 93213 98188 five times.</t>
  </si>
  <si>
    <t>If both are real lines, fine — but both must appear in Organization/LocalBusiness schema and stay consistent per purpose. If one is stale, it's a NAP conflict hurting local trust signals.</t>
  </si>
  <si>
    <t>SEO-18</t>
  </si>
  <si>
    <t>Rendering hygiene</t>
  </si>
  <si>
    <t>Most templates</t>
  </si>
  <si>
    <t>Leftover app-shell text leaks into the pre-rendered HTML: a stray duplicate 'Mirai Tech' string and 'Loading premium experience...' render as page content.</t>
  </si>
  <si>
    <t>Present at the bottom of homepage, /about, product and city page HTML. Absent on /products and /blog.</t>
  </si>
  <si>
    <t>Junk strings in the indexable body are a quality-signal blemish and can appear in snippets. Exclude loader/shell markup from the prerendered output.</t>
  </si>
  <si>
    <t>SEO-19</t>
  </si>
  <si>
    <t>Rendering parity</t>
  </si>
  <si>
    <t>All routes</t>
  </si>
  <si>
    <t>Hydration parity must be verified: the client-side React app must render the same content (and not remove/replace meta tags) as the pre-rendered HTML, on every route type.</t>
  </si>
  <si>
    <t>Pre-render confirmed on 6 sampled routes (home, about, products, product detail, city, blog index). Blog article pages and market-area hub not yet sampled.</t>
  </si>
  <si>
    <t>If hydration swaps titles/canonicals or content diverges, Google may index the post-JS version and reintroduce the original SPA problem.</t>
  </si>
  <si>
    <t>SEO-20</t>
  </si>
  <si>
    <t>Product detail template</t>
  </si>
  <si>
    <t>Product pages are internal-link dead-ends: only one category link out, no breadcrumbs, no related-products block.</t>
  </si>
  <si>
    <t>IRFP4668 page links only to its category, nav and an external Infineon datasheet PDF.</t>
  </si>
  <si>
    <t>~85 SKU pages fail to pass equity sideways to related SKUs and give crawlers no lateral paths. Add breadcrumb + 4–6 related parts per page.</t>
  </si>
  <si>
    <t>SEO-21</t>
  </si>
  <si>
    <t>Performance</t>
  </si>
  <si>
    <t>Site-wide</t>
  </si>
  <si>
    <t>Core Web Vitals unmeasured post-relaunch; the 'premium experience' hydration loader suggests a heavy JS bundle on top of the prerender.</t>
  </si>
  <si>
    <t>Not measurable via static fetch. Needs PageSpeed Insights / CrUX check on homepage, one product page, one city page (mobile).</t>
  </si>
  <si>
    <t>LCP/INP regressions from hydration are common in prerendered SPAs; India-mobile audience makes this material.</t>
  </si>
  <si>
    <t>SEO-22</t>
  </si>
  <si>
    <t>Canonicals</t>
  </si>
  <si>
    <t>Sampled pages</t>
  </si>
  <si>
    <t>Canonical tags present, self-referencing, https non-www on every sampled page.</t>
  </si>
  <si>
    <t>Verified on all 6 sampled routes.</t>
  </si>
  <si>
    <t>Working as intended.</t>
  </si>
  <si>
    <t>SEO-23</t>
  </si>
  <si>
    <t>City page content</t>
  </si>
  <si>
    <t>City template</t>
  </si>
  <si>
    <t>City pages have genuinely substantial, differentiated content with FAQs, product portfolio, nearby-city links and category cross-links.</t>
  </si>
  <si>
    <t>Bengaluru page reviewed in full.</t>
  </si>
  <si>
    <t>Strong template — the schema (SEO-05) and title fix (SEO-16) will let it perform.</t>
  </si>
  <si>
    <t>Issue ID</t>
  </si>
  <si>
    <t>Fix Specification (what to build/change)</t>
  </si>
  <si>
    <t>Implementation Notes</t>
  </si>
  <si>
    <t>Acceptance Test (definition of done)</t>
  </si>
  <si>
    <t>Est. Effort</t>
  </si>
  <si>
    <t>Build a complete legacy-URL 301 map. Pull every legacy .php URL from GSC (Indexing &gt; Pages, plus Settings &gt; Crawl stats) and server logs; map each to its closest-topic new URL (see Sheet 4). Re-point brands.php to /products (not /about).</t>
  </si>
  <si>
    <t>Redirects must be server-level 301 (Cloudflare rule or origin config), single hop, preserving host consolidation. After deploying, use GSC URL Inspection &gt; Request Indexing on the top 10 legacy URLs to accelerate refresh.</t>
  </si>
  <si>
    <t>site:www.miraitechnologies.net returns 0 legacy .php results within 4–6 weeks; every URL in Sheet 4 returns a single 301 to a 200 page (test with curl -IL).</t>
  </si>
  <si>
    <t>0.5–1 day</t>
  </si>
  <si>
    <t>Enforce host canonicalization: 301 http://miraitechnologies.net, http://www…, https://www… (all paths, including .php) to https://miraitechnologies.net/&lt;path&gt; in ONE hop.</t>
  </si>
  <si>
    <t>Do this at the edge (Cloudflare redirect rules) so it applies before the app. Watch for double-hop chains (www→non-www→https).</t>
  </si>
  <si>
    <t>curl -IL on 4 host variants × 3 sample paths = 12 tests, each exactly one 301 then 200.</t>
  </si>
  <si>
    <t>0.5 day</t>
  </si>
  <si>
    <t>Create/verify robots.txt at the root: allow all main content; Disallow: /cdn-cgi/; Sitemap: https://miraitechnologies.net/sitemap.xml line included.</t>
  </si>
  <si>
    <t>Do NOT disallow /product/ or JS/CSS assets. Keep it minimal.</t>
  </si>
  <si>
    <t>https://miraitechnologies.net/robots.txt returns 200, contains the sitemap line and /cdn-cgi/ disallow; GSC robots.txt report shows no errors.</t>
  </si>
  <si>
    <t>1 hour</t>
  </si>
  <si>
    <t>Generate a complete XML sitemap (auto-regenerating on build/deploy) containing every canonical 200 URL: ~130+ pages. Submit in GSC. Exclude redirected/duplicate variants (see SEO-06/08).</t>
  </si>
  <si>
    <t>If page count grows past a few thousand later (more cities/SKUs), move to a sitemap index split by type (products / cities / blog).</t>
  </si>
  <si>
    <t>Sitemap validates in GSC with 0 errors; 'Discovered - currently not indexed' count trends down weekly; indexed pages climb toward full coverage in 4–8 weeks.</t>
  </si>
  <si>
    <t>Implement JSON-LD in the SERVER-RENDERED head per template: (a) Organization + WebSite on all pages; (b) Product + Offer (price INR, priceCurrency, availability, MOQ via eligibleQuantity, seller) on product pages; (c) FAQPage on product + city pages (FAQs already exist in HTML — mark up the same Q/As); (d) BreadcrumbList on all; (e) BlogPosting with author + datePublished + dateModified on articles; (f) LocalBusiness with real email + both phone numbers on contact + market-area.</t>
  </si>
  <si>
    <t>See Sheet 6 for field-level spec. JSON-LD must be in the prerendered HTML, not injected post-hydration only — Google's first-pass HTML must contain it (standing SSR requirement for this site).</t>
  </si>
  <si>
    <t>Every template passes Google Rich Results Test with 0 errors; GSC Enhancements reports appear for Products, FAQs and Breadcrumbs within 2–4 weeks.</t>
  </si>
  <si>
    <t>2–3 days</t>
  </si>
  <si>
    <t>Standardize product URLs to ONE pattern: /product/&lt;category-singular&gt;/&lt;sku&gt;. 301 all /product/integrated-circuits/* and /product/ic/* variants to their /product/integrated-circuit/* equivalents. Update every internal link (catalog page, category pages, related links) to emit only the canonical pattern.</t>
  </si>
  <si>
    <t>Enforce with a route-level redirect + a lint/test in the build that fails if a non-canonical product path is generated.</t>
  </si>
  <si>
    <t>Crawl of /products yields zero links to plural or /ic/ variants; old variant URLs 301 correctly; sitemap contains only canonical pattern.</t>
  </si>
  <si>
    <t>1 day</t>
  </si>
  <si>
    <t>Fix product categorization in the data source: move L7824CV, LM2596R-5, LM2576T-ADJ → voltage-regulator; CD4051BE, MB6S, 20D511K, CD4001BE, HEF4081BP → their correct categories; Si2302 → mosfet-transistor. 301 each moved URL to its new path.</t>
  </si>
  <si>
    <t>Audit all ~85 SKUs against category in one pass (the catalog Excel from earlier engagements can seed this). The voltage-regulator category page must end up owning its regulators.</t>
  </si>
  <si>
    <t>Each category page lists only on-topic SKUs; every moved SKU's old URL 301s to the new one; no 404s in GSC after 2 weeks.</t>
  </si>
  <si>
    <t>Merge duplicate LM2596R-5 pages: keep the stronger URL, merge unique content, 301 /product/transistor/lm2596r5v2 → the kept URL (which after SEO-07 lives under voltage-regulator).</t>
  </si>
  <si>
    <t>Check GSC for which of the two currently gets impressions; keep that one's content depth.</t>
  </si>
  <si>
    <t>One LM2596R-5 page remains; duplicate 301s; site search / catalog lists it once.</t>
  </si>
  <si>
    <t>2 hours</t>
  </si>
  <si>
    <t>Fix the metadata generator: truncate titles at ~60 chars and descriptions at ~155 chars on WORD boundaries, never mid-token; never truncate inside an email, number or spec value; drop the trailing fragment and end on a complete clause.</t>
  </si>
  <si>
    <t>Better: build titles/descriptions from structured fields (part no. + top spec + 'Buy Online India | Mirai Technologies') so length is controlled by construction, not truncation. Regenerate all product + city metadata after the fix.</t>
  </si>
  <si>
    <t>No title or description on any page ends mid-word, mid-value or mid-email (scripted check across sitemap URLs).</t>
  </si>
  <si>
    <t>Decouple H1 from title tag in the template: H1 = clean page heading without '| Brand' suffix. Homepage H1 e.g. 'Buy Genuine Electronic Components Online in India'; /about H1 e.g. 'About Mirai Technologies'.</t>
  </si>
  <si>
    <t>One-line template change + per-page heading field. See Sheet 5 for proposed strings.</t>
  </si>
  <si>
    <t>No H1 on the site contains a pipe character or duplicates the title verbatim.</t>
  </si>
  <si>
    <t>Make the navigation identical on every template — include 'Market Area' in the header nav site-wide.</t>
  </si>
  <si>
    <t>Single shared nav component; the products/blog templates are currently using a different nav variant.</t>
  </si>
  <si>
    <t>Nav is byte-identical across home, products, product detail, blog, city and about templates.</t>
  </si>
  <si>
    <t>Expose contact email to crawlers: add real email in LocalBusiness/ContactPoint JSON-LD (schema is not obfuscated by Cloudflare), and either disable Scrape Shield email obfuscation for the site or render the email via a method that leaves schema intact.</t>
  </si>
  <si>
    <t>Keeping visual obfuscation is acceptable IF the schema carries the real address. Verify the prerendered HTML's JSON-LD shows the full email.</t>
  </si>
  <si>
    <t>Rich Results Test on a city page shows the real email in ContactPoint; no '[email protected]' strings in schema.</t>
  </si>
  <si>
    <t>Reconcile inventory numbers: decide the truthful figure per scope (e.g. '85+ stocked part numbers across 800+ orderable line items' if that's real) and apply consistently on /products header and category blurbs.</t>
  </si>
  <si>
    <t>This is a content decision for Akshat + client; dev applies the final strings. Do not ship contradictory numbers on one page.</t>
  </si>
  <si>
    <t>No page states two conflicting totals; numbers match what the catalog actually lists or is verifiably true.</t>
  </si>
  <si>
    <t>1 hour + content decision</t>
  </si>
  <si>
    <t>Add author bylines (name, role, short bio) and dateModified to blog articles; update dates only when content genuinely changes.</t>
  </si>
  <si>
    <t>Create 1–2 real author entities (e.g. sourcing desk lead) reused across posts, with an author page. Feed into BlogPosting schema (SEO-05e).</t>
  </si>
  <si>
    <t>Every article shows author + published + modified; author page exists and is linked.</t>
  </si>
  <si>
    <t>Remove the meta keywords tag from all templates.</t>
  </si>
  <si>
    <t>One-line template deletion.</t>
  </si>
  <si>
    <t>No page source contains &lt;meta name="keywords"&gt;.</t>
  </si>
  <si>
    <t>15 min</t>
  </si>
  <si>
    <t>City title template: 'Electronic Component Distributor in {City} | Mirai Technologies' (fits ~60 chars for most cities; for long city names drop the brand, never the keyword).</t>
  </si>
  <si>
    <t>Aligns title with H1 and target query; fixes 'Mirai Tech' brand inconsistency in the same pass.</t>
  </si>
  <si>
    <t>All city titles start with 'Electronic Component Distributor in' and use the full brand where length allows.</t>
  </si>
  <si>
    <t>Confirm both phone numbers are active and intentional (sales line vs WhatsApp). Add both to Organization/LocalBusiness schema as separate ContactPoints with contactType.</t>
  </si>
  <si>
    <t>If one is stale, replace it everywhere in one pass.</t>
  </si>
  <si>
    <t>Schema lists all real numbers; no page shows a dead number.</t>
  </si>
  <si>
    <t>Strip app-shell artifacts ('Loading premium experience...', duplicate 'Mirai Tech' string) from the prerendered HTML output.</t>
  </si>
  <si>
    <t>Exclude the loader element from the snapshot, or gate it behind JS so it never exists in static HTML.</t>
  </si>
  <si>
    <t>curl of any page contains neither string.</t>
  </si>
  <si>
    <t>Verify hydration parity on every template incl. blog articles and /market-area: post-JS DOM keeps the same title, canonical, meta description, H1 and body content as the prerendered HTML.</t>
  </si>
  <si>
    <t>Spot-check with Chrome DevTools (compare view-source vs rendered DOM) + GSC URL Inspection 'View crawled page' on 6 templates.</t>
  </si>
  <si>
    <t>No template where hydration changes head tags or removes indexable content.</t>
  </si>
  <si>
    <t>Add to the product template: breadcrumb trail (Home &gt; Products &gt; {Category} &gt; {SKU}) and a 'Related Components' block of 4–6 same-category SKUs.</t>
  </si>
  <si>
    <t>Related items can be same-category siblings by default; pairs well with BreadcrumbList schema from SEO-05.</t>
  </si>
  <si>
    <t>Every product page exposes ≥5 internal links to other products/categories in prerendered HTML.</t>
  </si>
  <si>
    <t>Run PageSpeed Insights (mobile) on homepage, IRFP4668 page, Bengaluru page. If LCP &gt; 2.5s or INP &gt; 200ms: defer/split the hydration bundle, preload the LCP element, subset fonts.</t>
  </si>
  <si>
    <t>Prioritize JS reduction — the prerender already delivers content, so hydration can be lazy for below-the-fold widgets.</t>
  </si>
  <si>
    <t>All three pages: LCP &lt; 2.5s, INP &lt; 200ms, CLS &lt; 0.1 on mobile PSI.</t>
  </si>
  <si>
    <t>1–2 days if issues found</t>
  </si>
  <si>
    <t>#</t>
  </si>
  <si>
    <t>Legacy URL (old PHP site)</t>
  </si>
  <si>
    <t>Current behaviour (tested 16 Jul 2026)</t>
  </si>
  <si>
    <t>Redirect Target (implement as single-hop 301)</t>
  </si>
  <si>
    <t>https://www.miraitechnologies.net/brands.php</t>
  </si>
  <si>
    <t>301 → /about (confirmed live, but weak topical match; Google index entry still stale)</t>
  </si>
  <si>
    <t>https://miraitechnologies.net/products</t>
  </si>
  <si>
    <t>Re-point</t>
  </si>
  <si>
    <t>https://www.miraitechnologies.net/index.php</t>
  </si>
  <si>
    <t>UNTESTED — pull actual status from GSC / curl</t>
  </si>
  <si>
    <t>https://miraitechnologies.net/</t>
  </si>
  <si>
    <t>Fill &amp; verify</t>
  </si>
  <si>
    <t>https://www.miraitechnologies.net/about.php</t>
  </si>
  <si>
    <t>UNTESTED</t>
  </si>
  <si>
    <t>https://miraitechnologies.net/about</t>
  </si>
  <si>
    <t>https://www.miraitechnologies.net/products.php</t>
  </si>
  <si>
    <t>https://www.miraitechnologies.net/contact.php</t>
  </si>
  <si>
    <t>https://miraitechnologies.net/contact</t>
  </si>
  <si>
    <t>(add every remaining .php URL found in GSC &gt; Indexing &gt; Pages and server access logs)</t>
  </si>
  <si>
    <t>—</t>
  </si>
  <si>
    <t>(closest-topic new URL — never blanket-redirect everything to the homepage)</t>
  </si>
  <si>
    <t>To fill</t>
  </si>
  <si>
    <t>Yellow cells = developer to fill/verify from Google Search Console and server logs before implementing. Rule: map each legacy URL to its closest-topic new page; single 301 hop; never chain through www or http.</t>
  </si>
  <si>
    <t>Page / Template</t>
  </si>
  <si>
    <t>Element</t>
  </si>
  <si>
    <t>Current (live 16 Jul 2026)</t>
  </si>
  <si>
    <t>Problem</t>
  </si>
  <si>
    <t>Proposed</t>
  </si>
  <si>
    <t>Homepage</t>
  </si>
  <si>
    <t>H1</t>
  </si>
  <si>
    <t>Buy Electronic Components Online India | Mirai Technologies</t>
  </si>
  <si>
    <t>H1 duplicates title tag verbatim incl. pipe + brand</t>
  </si>
  <si>
    <t>Buy Genuine Electronic Components Online in India</t>
  </si>
  <si>
    <t>/about</t>
  </si>
  <si>
    <t>About Mirai Technologies | Authorized Semiconductor Distributor</t>
  </si>
  <si>
    <t>Same H1=title bug</t>
  </si>
  <si>
    <t>About Mirai Technologies — Authorized Semiconductor Distributor Since 1999</t>
  </si>
  <si>
    <t>Product template (ex: IRFP4668)</t>
  </si>
  <si>
    <t>Title</t>
  </si>
  <si>
    <t>IRFP4668 – N-ch MOSFET, 200V, 130A, Rds | Buy India</t>
  </si>
  <si>
    <t>Truncated mid-spec ('Rds' cut); 'Buy India' reads broken</t>
  </si>
  <si>
    <t>IRFP4668 N-Channel MOSFET 200V 130A – Buy Online India | Mirai Technologies (drop brand if &gt;60 chars)</t>
  </si>
  <si>
    <t>Meta description</t>
  </si>
  <si>
    <t>Buy IRFP4668 from Mirai Technologies Mumbai. N-ch MOSFET, 200V, 130A, Rds(on)=3.. ₹195/pc. Authorized distributor. Fast pan-India delivery.</t>
  </si>
  <si>
    <t>Truncated mid-value 'Rds(on)=3..'</t>
  </si>
  <si>
    <t>Buy IRFP4668 N-channel MOSFET (200V, 130A, TO-247AC) at ₹195/pc from Mirai Technologies, Mumbai. Authorized distributor since 1999. GST invoice, pan-India delivery.</t>
  </si>
  <si>
    <t>City template (ex: Bengaluru)</t>
  </si>
  <si>
    <t>Component Distributor in Bengaluru | Mirai Tech</t>
  </si>
  <si>
    <t>Drops 'Electronic' (the target keyword head) + inconsistent brand 'Mirai Tech'</t>
  </si>
  <si>
    <t>Electronic Component Distributor in Bengaluru | Mirai Technologies</t>
  </si>
  <si>
    <t>Authorised distributor of Power MOSFETs, IGBTs, ICs &amp; semiconductors in Bengaluru. Genuine parts, fast delivery. Call +91 93213 98188 or email sales@miraitec...</t>
  </si>
  <si>
    <t>Truncated mid-email</t>
  </si>
  <si>
    <t>Authorised distributor of Power MOSFETs, IGBTs, ICs &amp; semiconductors in Bengaluru. Genuine, factory-traceable parts with GST invoice and fast pan-India delivery. Call +91 93213 98188.</t>
  </si>
  <si>
    <t>Meta keywords</t>
  </si>
  <si>
    <t>Identical boilerplate keyword string on every page</t>
  </si>
  <si>
    <t>Obsolete tag; identical site-wide</t>
  </si>
  <si>
    <t>Remove the tag entirely</t>
  </si>
  <si>
    <t>Rule for generator</t>
  </si>
  <si>
    <t>Title/description logic</t>
  </si>
  <si>
    <t>Hard character truncation mid-token</t>
  </si>
  <si>
    <t>Breaks words, values, emails</t>
  </si>
  <si>
    <t>Truncate on word boundaries only (title ≤60 chars, description ≤155); never truncate inside an email/number/spec; prefer constructing from structured fields over truncating</t>
  </si>
  <si>
    <t>Template</t>
  </si>
  <si>
    <t>Required JSON-LD Type(s)</t>
  </si>
  <si>
    <t>Key Fields (source of data already on page)</t>
  </si>
  <si>
    <t>Placement Rule</t>
  </si>
  <si>
    <t>Validation Step</t>
  </si>
  <si>
    <t>All pages</t>
  </si>
  <si>
    <t>Organization + WebSite</t>
  </si>
  <si>
    <t>name: Mirai Technologies; url; logo; foundingDate: 1999; address (Mumbai); contactPoint: both phone numbers + REAL email (bypasses Cloudflare obfuscation — see SEO-12); sameAs (IndiaMART/LinkedIn if any)</t>
  </si>
  <si>
    <t>In prerendered &lt;head&gt;, once per page</t>
  </si>
  <si>
    <t>Rich Results Test + Schema.org validator: 0 errors</t>
  </si>
  <si>
    <t>To do</t>
  </si>
  <si>
    <t>Product detail</t>
  </si>
  <si>
    <t>Product + Offer (+ FAQPage + BreadcrumbList)</t>
  </si>
  <si>
    <t>name: part no. + description; mpn: part number; brand: manufacturer (e.g. Infineon); offers: price (195), priceCurrency: INR, availability: InStock, seller: Organization; eligibleQuantity for MOQ 5. All values already printed in page body.</t>
  </si>
  <si>
    <t>In prerendered &lt;head&gt;; price/stock in schema must match visible values exactly</t>
  </si>
  <si>
    <t>Rich Results Test shows Product rich result preview with price + stock</t>
  </si>
  <si>
    <t>Product + city pages</t>
  </si>
  <si>
    <t>FAQPage</t>
  </si>
  <si>
    <t>Mark up the exact Q/A pairs already rendered on the page (3 FAQs per product, 5 per city page). Do not invent new Q/As in schema that aren't visible.</t>
  </si>
  <si>
    <t>Schema Q/A text must match on-page text</t>
  </si>
  <si>
    <t>Rich Results Test detects FAQ items = number of visible FAQs</t>
  </si>
  <si>
    <t>BreadcrumbList</t>
  </si>
  <si>
    <t>Home &gt; Products &gt; {Category} &gt; {SKU} for products; Home &gt; Market Area &gt; {City} for city pages</t>
  </si>
  <si>
    <t>Requires visible breadcrumb UI too (SEO-20)</t>
  </si>
  <si>
    <t>Breadcrumb rich result renders in test</t>
  </si>
  <si>
    <t>Blog articles</t>
  </si>
  <si>
    <t>BlogPosting</t>
  </si>
  <si>
    <t>headline, author (Person, from SEO-14), datePublished, dateModified, publisher: Organization, image</t>
  </si>
  <si>
    <t>Article template head</t>
  </si>
  <si>
    <t>0 errors; article eligible for Top Stories-style display</t>
  </si>
  <si>
    <t>Contact + market-area</t>
  </si>
  <si>
    <t>LocalBusiness</t>
  </si>
  <si>
    <t>Full NAP: Mumbai address, geo, openingHours (Mon–Sat 9:30–18:30 per city page copy), telephone (both), email (real)</t>
  </si>
  <si>
    <t>Prerendered head</t>
  </si>
  <si>
    <t>LocalBusiness passes validation with real email visible in JSON</t>
  </si>
  <si>
    <t>CRITICAL NOTE</t>
  </si>
  <si>
    <t>Static HTML fetch strips &lt;script&gt; tags, so this audit could NOT confirm whether any schema already exists. Before building, run each template URL through https://search.google.com/test/rich-results — if schema exists but is injected client-side after hydration, move it into the prerendered HTML (standing SSR requirement).</t>
  </si>
  <si>
    <t>Verify first</t>
  </si>
  <si>
    <t>Task</t>
  </si>
  <si>
    <t>How to Check</t>
  </si>
  <si>
    <t>Expected Result</t>
  </si>
  <si>
    <t>Owner</t>
  </si>
  <si>
    <t>robots.txt exists &amp; correct</t>
  </si>
  <si>
    <t>Open https://miraitechnologies.net/robots.txt; check GSC robots report</t>
  </si>
  <si>
    <t>200 OK; Sitemap: line present; Disallow: /cdn-cgi/; nothing important blocked</t>
  </si>
  <si>
    <t>Developer</t>
  </si>
  <si>
    <t>Open</t>
  </si>
  <si>
    <t>XML sitemap complete &amp; submitted</t>
  </si>
  <si>
    <t>Open /sitemap.xml; count URLs vs live page inventory (~130+); GSC &gt; Sitemaps</t>
  </si>
  <si>
    <t>All canonical URLs present, 0 errors in GSC</t>
  </si>
  <si>
    <t>Host redirects (all 4 variants)</t>
  </si>
  <si>
    <t>curl -IL on http://, http://www, https://www + 3 paths each</t>
  </si>
  <si>
    <t>Single-hop 301 to https non-www every time</t>
  </si>
  <si>
    <t>Full legacy .php URL inventory</t>
  </si>
  <si>
    <t>GSC &gt; Indexing &gt; Pages (both www and non-www properties!) + server access logs; also Google 'site:miraitechnologies.net inurl:php'</t>
  </si>
  <si>
    <t>Complete list pasted into Sheet 4 with targets</t>
  </si>
  <si>
    <t>Add/verify BOTH GSC properties</t>
  </si>
  <si>
    <t>Ensure Domain property (covers www + non-www) is verified, not just URL-prefix</t>
  </si>
  <si>
    <t>Domain property active; legacy www data visible</t>
  </si>
  <si>
    <t>Akshat</t>
  </si>
  <si>
    <t>Existing schema check per template</t>
  </si>
  <si>
    <t>Rich Results Test on: homepage, /products, product page, city page, blog article, /market-area</t>
  </si>
  <si>
    <t>Documented: which schema exists today, and whether it's in prerendered HTML or JS-injected</t>
  </si>
  <si>
    <t>Hydration parity spot-check</t>
  </si>
  <si>
    <t>view-source vs rendered DOM on 6 templates; GSC URL Inspection 'View crawled page'</t>
  </si>
  <si>
    <t>Head tags + content identical pre/post hydration</t>
  </si>
  <si>
    <t>Blog article + market-area prerender</t>
  </si>
  <si>
    <t>curl a blog article URL and /market-area; confirm full content in raw HTML</t>
  </si>
  <si>
    <t>Same prerender quality as sampled pages</t>
  </si>
  <si>
    <t>Core Web Vitals baseline</t>
  </si>
  <si>
    <t>PageSpeed Insights mobile: homepage, IRFP4668, Bengaluru city page</t>
  </si>
  <si>
    <t>LCP&lt;2.5s, INP&lt;200ms, CLS&lt;0.1 — else SEO-21 work triggers</t>
  </si>
  <si>
    <t>Image alt text &amp; formats</t>
  </si>
  <si>
    <t>Inspect product/category templates for img alt attributes, WebP, lazy loading</t>
  </si>
  <si>
    <t>All content images have descriptive alts; modern formats</t>
  </si>
  <si>
    <t>Phone numbers active</t>
  </si>
  <si>
    <t>Call/WhatsApp both numbers</t>
  </si>
  <si>
    <t>Both live, purposes documented → feed schema (SEO-17)</t>
  </si>
  <si>
    <t>Post-fix indexation monitoring</t>
  </si>
  <si>
    <t>Weekly: GSC indexed-page count + site: check on www</t>
  </si>
  <si>
    <t>Indexed count climbing toward full inventory; www legacy entries gone in 4–6 weeks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</si>
</sst>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10.0"/>
      <color theme="1"/>
      <name val="Arial"/>
    </font>
    <font>
      <sz val="10.0"/>
      <color theme="1"/>
      <name val="Arial"/>
    </font>
    <font>
      <b/>
      <sz val="11.0"/>
      <color rgb="FF1F3864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i/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6" fontId="5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shrinkToFit="0" vertical="top" wrapText="1"/>
    </xf>
    <xf borderId="1" fillId="8" fontId="3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/>
      <c r="B4" s="4"/>
    </row>
    <row r="5">
      <c r="A5" s="5" t="s">
        <v>2</v>
      </c>
      <c r="B5" s="4"/>
    </row>
    <row r="6">
      <c r="A6" s="3" t="s">
        <v>3</v>
      </c>
      <c r="B6" s="4" t="s">
        <v>4</v>
      </c>
    </row>
    <row r="7">
      <c r="A7" s="3" t="s">
        <v>5</v>
      </c>
      <c r="B7" s="4" t="s">
        <v>6</v>
      </c>
    </row>
    <row r="8">
      <c r="A8" s="3" t="s">
        <v>7</v>
      </c>
      <c r="B8" s="4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4" t="s">
        <v>12</v>
      </c>
    </row>
    <row r="11">
      <c r="A11" s="3" t="s">
        <v>13</v>
      </c>
      <c r="B11" s="4" t="s">
        <v>14</v>
      </c>
    </row>
    <row r="12">
      <c r="A12" s="3"/>
      <c r="B12" s="4"/>
    </row>
    <row r="13">
      <c r="A13" s="5" t="s">
        <v>15</v>
      </c>
      <c r="B13" s="4"/>
    </row>
    <row r="14">
      <c r="A14" s="3" t="s">
        <v>16</v>
      </c>
      <c r="B14" s="4" t="s">
        <v>17</v>
      </c>
    </row>
    <row r="15">
      <c r="A15" s="3" t="s">
        <v>18</v>
      </c>
      <c r="B15" s="4" t="s">
        <v>19</v>
      </c>
    </row>
    <row r="16">
      <c r="A16" s="3" t="s">
        <v>20</v>
      </c>
      <c r="B16" s="4" t="s">
        <v>21</v>
      </c>
    </row>
    <row r="17">
      <c r="A17" s="3" t="s">
        <v>22</v>
      </c>
      <c r="B17" s="4" t="s">
        <v>23</v>
      </c>
    </row>
    <row r="18">
      <c r="A18" s="3"/>
      <c r="B18" s="4"/>
    </row>
    <row r="19">
      <c r="A19" s="5" t="s">
        <v>24</v>
      </c>
      <c r="B19" s="4"/>
    </row>
    <row r="20">
      <c r="A20" s="3" t="s">
        <v>25</v>
      </c>
      <c r="B20" s="4" t="s">
        <v>26</v>
      </c>
    </row>
    <row r="21" ht="15.75" customHeight="1">
      <c r="A21" s="3" t="s">
        <v>27</v>
      </c>
      <c r="B21" s="4" t="s">
        <v>28</v>
      </c>
    </row>
    <row r="22" ht="15.75" customHeight="1">
      <c r="A22" s="3" t="s">
        <v>29</v>
      </c>
      <c r="B22" s="4" t="s">
        <v>30</v>
      </c>
    </row>
    <row r="23" ht="15.75" customHeight="1">
      <c r="A23" s="3"/>
      <c r="B23" s="4"/>
    </row>
    <row r="24" ht="15.75" customHeight="1">
      <c r="A24" s="5" t="s">
        <v>31</v>
      </c>
      <c r="B24" s="4"/>
    </row>
    <row r="25" ht="15.75" customHeight="1">
      <c r="A25" s="3" t="s">
        <v>32</v>
      </c>
      <c r="B25" s="4" t="s">
        <v>33</v>
      </c>
    </row>
    <row r="26" ht="15.75" customHeight="1">
      <c r="A26" s="3" t="s">
        <v>34</v>
      </c>
      <c r="B26" s="4" t="s">
        <v>35</v>
      </c>
    </row>
    <row r="27" ht="15.75" customHeight="1">
      <c r="A27" s="3" t="s">
        <v>36</v>
      </c>
      <c r="B27" s="4" t="s">
        <v>37</v>
      </c>
    </row>
    <row r="28" ht="15.75" customHeight="1"/>
    <row r="29" ht="15.75" customHeight="1">
      <c r="A29" s="5" t="s">
        <v>38</v>
      </c>
    </row>
    <row r="30" ht="15.75" customHeight="1">
      <c r="A30" s="3" t="s">
        <v>16</v>
      </c>
      <c r="B30" s="6">
        <f>COUNTIF('2. Issues Master'!F:F,"P0*")</f>
        <v>5</v>
      </c>
    </row>
    <row r="31" ht="15.75" customHeight="1">
      <c r="A31" s="3" t="s">
        <v>18</v>
      </c>
      <c r="B31" s="6">
        <f>COUNTIF('2. Issues Master'!F:F,"P1*")</f>
        <v>8</v>
      </c>
    </row>
    <row r="32" ht="15.75" customHeight="1">
      <c r="A32" s="3" t="s">
        <v>20</v>
      </c>
      <c r="B32" s="6">
        <f>COUNTIF('2. Issues Master'!F:F,"P2*")</f>
        <v>8</v>
      </c>
    </row>
    <row r="33" ht="15.75" customHeight="1">
      <c r="A33" s="3" t="s">
        <v>39</v>
      </c>
      <c r="B33" s="6">
        <f>COUNTIF('2. Issues Master'!F:F,"PASS")</f>
        <v>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0.0"/>
    <col customWidth="1" min="3" max="3" width="30.0"/>
    <col customWidth="1" min="4" max="4" width="42.0"/>
    <col customWidth="1" min="5" max="5" width="60.0"/>
    <col customWidth="1" min="6" max="6" width="10.0"/>
    <col customWidth="1" min="7" max="7" width="45.0"/>
    <col customWidth="1" min="8" max="8" width="16.0"/>
    <col customWidth="1" min="9" max="26" width="8.71"/>
  </cols>
  <sheetData>
    <row r="1">
      <c r="A1" s="7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</row>
    <row r="2">
      <c r="A2" s="8" t="s">
        <v>48</v>
      </c>
      <c r="B2" s="8" t="s">
        <v>49</v>
      </c>
      <c r="C2" s="8" t="s">
        <v>50</v>
      </c>
      <c r="D2" s="8" t="s">
        <v>51</v>
      </c>
      <c r="E2" s="8" t="s">
        <v>52</v>
      </c>
      <c r="F2" s="9" t="s">
        <v>53</v>
      </c>
      <c r="G2" s="8" t="s">
        <v>54</v>
      </c>
      <c r="H2" s="8" t="s">
        <v>25</v>
      </c>
    </row>
    <row r="3">
      <c r="A3" s="10" t="s">
        <v>55</v>
      </c>
      <c r="B3" s="10" t="s">
        <v>56</v>
      </c>
      <c r="C3" s="10" t="s">
        <v>57</v>
      </c>
      <c r="D3" s="10" t="s">
        <v>58</v>
      </c>
      <c r="E3" s="10" t="s">
        <v>59</v>
      </c>
      <c r="F3" s="9" t="s">
        <v>53</v>
      </c>
      <c r="G3" s="10" t="s">
        <v>60</v>
      </c>
      <c r="H3" s="10" t="s">
        <v>27</v>
      </c>
    </row>
    <row r="4">
      <c r="A4" s="8" t="s">
        <v>61</v>
      </c>
      <c r="B4" s="8" t="s">
        <v>62</v>
      </c>
      <c r="C4" s="8" t="s">
        <v>63</v>
      </c>
      <c r="D4" s="8" t="s">
        <v>64</v>
      </c>
      <c r="E4" s="8" t="s">
        <v>65</v>
      </c>
      <c r="F4" s="9" t="s">
        <v>53</v>
      </c>
      <c r="G4" s="8" t="s">
        <v>66</v>
      </c>
      <c r="H4" s="8" t="s">
        <v>27</v>
      </c>
    </row>
    <row r="5">
      <c r="A5" s="10" t="s">
        <v>67</v>
      </c>
      <c r="B5" s="10" t="s">
        <v>68</v>
      </c>
      <c r="C5" s="10" t="s">
        <v>69</v>
      </c>
      <c r="D5" s="10" t="s">
        <v>70</v>
      </c>
      <c r="E5" s="10" t="s">
        <v>71</v>
      </c>
      <c r="F5" s="9" t="s">
        <v>53</v>
      </c>
      <c r="G5" s="10" t="s">
        <v>72</v>
      </c>
      <c r="H5" s="10" t="s">
        <v>27</v>
      </c>
    </row>
    <row r="6">
      <c r="A6" s="8" t="s">
        <v>73</v>
      </c>
      <c r="B6" s="8" t="s">
        <v>74</v>
      </c>
      <c r="C6" s="8" t="s">
        <v>75</v>
      </c>
      <c r="D6" s="8" t="s">
        <v>76</v>
      </c>
      <c r="E6" s="8" t="s">
        <v>77</v>
      </c>
      <c r="F6" s="9" t="s">
        <v>53</v>
      </c>
      <c r="G6" s="8" t="s">
        <v>78</v>
      </c>
      <c r="H6" s="8" t="s">
        <v>27</v>
      </c>
    </row>
    <row r="7">
      <c r="A7" s="10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1" t="s">
        <v>84</v>
      </c>
      <c r="G7" s="10" t="s">
        <v>85</v>
      </c>
      <c r="H7" s="10" t="s">
        <v>25</v>
      </c>
    </row>
    <row r="8">
      <c r="A8" s="8" t="s">
        <v>86</v>
      </c>
      <c r="B8" s="8" t="s">
        <v>87</v>
      </c>
      <c r="C8" s="8" t="s">
        <v>88</v>
      </c>
      <c r="D8" s="8" t="s">
        <v>89</v>
      </c>
      <c r="E8" s="8" t="s">
        <v>90</v>
      </c>
      <c r="F8" s="11" t="s">
        <v>84</v>
      </c>
      <c r="G8" s="8" t="s">
        <v>91</v>
      </c>
      <c r="H8" s="8" t="s">
        <v>25</v>
      </c>
    </row>
    <row r="9">
      <c r="A9" s="10" t="s">
        <v>92</v>
      </c>
      <c r="B9" s="10" t="s">
        <v>93</v>
      </c>
      <c r="C9" s="10" t="s">
        <v>94</v>
      </c>
      <c r="D9" s="10" t="s">
        <v>95</v>
      </c>
      <c r="E9" s="10" t="s">
        <v>96</v>
      </c>
      <c r="F9" s="11" t="s">
        <v>84</v>
      </c>
      <c r="G9" s="10" t="s">
        <v>97</v>
      </c>
      <c r="H9" s="10" t="s">
        <v>25</v>
      </c>
    </row>
    <row r="10">
      <c r="A10" s="8" t="s">
        <v>98</v>
      </c>
      <c r="B10" s="8" t="s">
        <v>99</v>
      </c>
      <c r="C10" s="8" t="s">
        <v>100</v>
      </c>
      <c r="D10" s="8" t="s">
        <v>101</v>
      </c>
      <c r="E10" s="8" t="s">
        <v>102</v>
      </c>
      <c r="F10" s="11" t="s">
        <v>84</v>
      </c>
      <c r="G10" s="8" t="s">
        <v>103</v>
      </c>
      <c r="H10" s="8" t="s">
        <v>25</v>
      </c>
    </row>
    <row r="11">
      <c r="A11" s="10" t="s">
        <v>104</v>
      </c>
      <c r="B11" s="10" t="s">
        <v>105</v>
      </c>
      <c r="C11" s="10" t="s">
        <v>106</v>
      </c>
      <c r="D11" s="10" t="s">
        <v>107</v>
      </c>
      <c r="E11" s="10" t="s">
        <v>108</v>
      </c>
      <c r="F11" s="11" t="s">
        <v>84</v>
      </c>
      <c r="G11" s="10" t="s">
        <v>109</v>
      </c>
      <c r="H11" s="10" t="s">
        <v>25</v>
      </c>
    </row>
    <row r="12">
      <c r="A12" s="8" t="s">
        <v>110</v>
      </c>
      <c r="B12" s="8" t="s">
        <v>111</v>
      </c>
      <c r="C12" s="8" t="s">
        <v>112</v>
      </c>
      <c r="D12" s="8" t="s">
        <v>113</v>
      </c>
      <c r="E12" s="8" t="s">
        <v>114</v>
      </c>
      <c r="F12" s="11" t="s">
        <v>84</v>
      </c>
      <c r="G12" s="8" t="s">
        <v>115</v>
      </c>
      <c r="H12" s="8" t="s">
        <v>25</v>
      </c>
    </row>
    <row r="13">
      <c r="A13" s="10" t="s">
        <v>116</v>
      </c>
      <c r="B13" s="10" t="s">
        <v>117</v>
      </c>
      <c r="C13" s="10" t="s">
        <v>118</v>
      </c>
      <c r="D13" s="10" t="s">
        <v>119</v>
      </c>
      <c r="E13" s="10" t="s">
        <v>120</v>
      </c>
      <c r="F13" s="11" t="s">
        <v>84</v>
      </c>
      <c r="G13" s="10" t="s">
        <v>121</v>
      </c>
      <c r="H13" s="10" t="s">
        <v>25</v>
      </c>
    </row>
    <row r="14">
      <c r="A14" s="8" t="s">
        <v>122</v>
      </c>
      <c r="B14" s="8" t="s">
        <v>123</v>
      </c>
      <c r="C14" s="8" t="s">
        <v>124</v>
      </c>
      <c r="D14" s="8" t="s">
        <v>125</v>
      </c>
      <c r="E14" s="8" t="s">
        <v>126</v>
      </c>
      <c r="F14" s="11" t="s">
        <v>84</v>
      </c>
      <c r="G14" s="8" t="s">
        <v>127</v>
      </c>
      <c r="H14" s="8" t="s">
        <v>25</v>
      </c>
    </row>
    <row r="15">
      <c r="A15" s="10" t="s">
        <v>128</v>
      </c>
      <c r="B15" s="10" t="s">
        <v>129</v>
      </c>
      <c r="C15" s="10" t="s">
        <v>130</v>
      </c>
      <c r="D15" s="10" t="s">
        <v>131</v>
      </c>
      <c r="E15" s="10" t="s">
        <v>132</v>
      </c>
      <c r="F15" s="12" t="s">
        <v>133</v>
      </c>
      <c r="G15" s="10" t="s">
        <v>134</v>
      </c>
      <c r="H15" s="10" t="s">
        <v>25</v>
      </c>
    </row>
    <row r="16">
      <c r="A16" s="8" t="s">
        <v>135</v>
      </c>
      <c r="B16" s="8" t="s">
        <v>136</v>
      </c>
      <c r="C16" s="8" t="s">
        <v>137</v>
      </c>
      <c r="D16" s="8" t="s">
        <v>138</v>
      </c>
      <c r="E16" s="8" t="s">
        <v>139</v>
      </c>
      <c r="F16" s="12" t="s">
        <v>133</v>
      </c>
      <c r="G16" s="8" t="s">
        <v>140</v>
      </c>
      <c r="H16" s="8" t="s">
        <v>25</v>
      </c>
    </row>
    <row r="17">
      <c r="A17" s="10" t="s">
        <v>141</v>
      </c>
      <c r="B17" s="10" t="s">
        <v>142</v>
      </c>
      <c r="C17" s="10" t="s">
        <v>143</v>
      </c>
      <c r="D17" s="10" t="s">
        <v>144</v>
      </c>
      <c r="E17" s="10" t="s">
        <v>145</v>
      </c>
      <c r="F17" s="12" t="s">
        <v>133</v>
      </c>
      <c r="G17" s="10" t="s">
        <v>146</v>
      </c>
      <c r="H17" s="10" t="s">
        <v>25</v>
      </c>
    </row>
    <row r="18">
      <c r="A18" s="8" t="s">
        <v>147</v>
      </c>
      <c r="B18" s="8" t="s">
        <v>148</v>
      </c>
      <c r="C18" s="8" t="s">
        <v>149</v>
      </c>
      <c r="D18" s="8" t="s">
        <v>150</v>
      </c>
      <c r="E18" s="8" t="s">
        <v>151</v>
      </c>
      <c r="F18" s="12" t="s">
        <v>133</v>
      </c>
      <c r="G18" s="8" t="s">
        <v>152</v>
      </c>
      <c r="H18" s="8" t="s">
        <v>25</v>
      </c>
    </row>
    <row r="19">
      <c r="A19" s="10" t="s">
        <v>153</v>
      </c>
      <c r="B19" s="10" t="s">
        <v>154</v>
      </c>
      <c r="C19" s="10" t="s">
        <v>155</v>
      </c>
      <c r="D19" s="10" t="s">
        <v>156</v>
      </c>
      <c r="E19" s="10" t="s">
        <v>157</v>
      </c>
      <c r="F19" s="12" t="s">
        <v>133</v>
      </c>
      <c r="G19" s="10" t="s">
        <v>158</v>
      </c>
      <c r="H19" s="10" t="s">
        <v>25</v>
      </c>
    </row>
    <row r="20">
      <c r="A20" s="8" t="s">
        <v>159</v>
      </c>
      <c r="B20" s="8" t="s">
        <v>160</v>
      </c>
      <c r="C20" s="8" t="s">
        <v>161</v>
      </c>
      <c r="D20" s="8" t="s">
        <v>162</v>
      </c>
      <c r="E20" s="8" t="s">
        <v>163</v>
      </c>
      <c r="F20" s="12" t="s">
        <v>133</v>
      </c>
      <c r="G20" s="8" t="s">
        <v>164</v>
      </c>
      <c r="H20" s="8" t="s">
        <v>27</v>
      </c>
    </row>
    <row r="21" ht="15.75" customHeight="1">
      <c r="A21" s="10" t="s">
        <v>165</v>
      </c>
      <c r="B21" s="10" t="s">
        <v>111</v>
      </c>
      <c r="C21" s="10" t="s">
        <v>166</v>
      </c>
      <c r="D21" s="10" t="s">
        <v>167</v>
      </c>
      <c r="E21" s="10" t="s">
        <v>168</v>
      </c>
      <c r="F21" s="12" t="s">
        <v>133</v>
      </c>
      <c r="G21" s="10" t="s">
        <v>169</v>
      </c>
      <c r="H21" s="10" t="s">
        <v>25</v>
      </c>
    </row>
    <row r="22" ht="15.75" customHeight="1">
      <c r="A22" s="8" t="s">
        <v>170</v>
      </c>
      <c r="B22" s="8" t="s">
        <v>171</v>
      </c>
      <c r="C22" s="8" t="s">
        <v>172</v>
      </c>
      <c r="D22" s="8" t="s">
        <v>173</v>
      </c>
      <c r="E22" s="8" t="s">
        <v>174</v>
      </c>
      <c r="F22" s="12" t="s">
        <v>133</v>
      </c>
      <c r="G22" s="8" t="s">
        <v>175</v>
      </c>
      <c r="H22" s="8" t="s">
        <v>27</v>
      </c>
    </row>
    <row r="23" ht="15.75" customHeight="1">
      <c r="A23" s="10" t="s">
        <v>176</v>
      </c>
      <c r="B23" s="10" t="s">
        <v>177</v>
      </c>
      <c r="C23" s="10" t="s">
        <v>178</v>
      </c>
      <c r="D23" s="10" t="s">
        <v>179</v>
      </c>
      <c r="E23" s="10" t="s">
        <v>180</v>
      </c>
      <c r="F23" s="13" t="s">
        <v>22</v>
      </c>
      <c r="G23" s="10" t="s">
        <v>181</v>
      </c>
      <c r="H23" s="10" t="s">
        <v>25</v>
      </c>
    </row>
    <row r="24" ht="15.75" customHeight="1">
      <c r="A24" s="8" t="s">
        <v>182</v>
      </c>
      <c r="B24" s="8" t="s">
        <v>183</v>
      </c>
      <c r="C24" s="8" t="s">
        <v>184</v>
      </c>
      <c r="D24" s="8" t="s">
        <v>185</v>
      </c>
      <c r="E24" s="8" t="s">
        <v>186</v>
      </c>
      <c r="F24" s="13" t="s">
        <v>22</v>
      </c>
      <c r="G24" s="8" t="s">
        <v>187</v>
      </c>
      <c r="H24" s="8" t="s">
        <v>25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4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55.0"/>
    <col customWidth="1" min="4" max="4" width="50.0"/>
    <col customWidth="1" min="5" max="5" width="48.0"/>
    <col customWidth="1" min="6" max="6" width="14.0"/>
    <col customWidth="1" min="7" max="26" width="8.71"/>
  </cols>
  <sheetData>
    <row r="1">
      <c r="A1" s="7" t="s">
        <v>188</v>
      </c>
      <c r="B1" s="7" t="s">
        <v>45</v>
      </c>
      <c r="C1" s="7" t="s">
        <v>189</v>
      </c>
      <c r="D1" s="7" t="s">
        <v>190</v>
      </c>
      <c r="E1" s="7" t="s">
        <v>191</v>
      </c>
      <c r="F1" s="7" t="s">
        <v>192</v>
      </c>
    </row>
    <row r="2">
      <c r="A2" s="8" t="s">
        <v>48</v>
      </c>
      <c r="B2" s="9" t="s">
        <v>53</v>
      </c>
      <c r="C2" s="8" t="s">
        <v>193</v>
      </c>
      <c r="D2" s="8" t="s">
        <v>194</v>
      </c>
      <c r="E2" s="8" t="s">
        <v>195</v>
      </c>
      <c r="F2" s="8" t="s">
        <v>196</v>
      </c>
    </row>
    <row r="3">
      <c r="A3" s="10" t="s">
        <v>55</v>
      </c>
      <c r="B3" s="9" t="s">
        <v>53</v>
      </c>
      <c r="C3" s="10" t="s">
        <v>197</v>
      </c>
      <c r="D3" s="10" t="s">
        <v>198</v>
      </c>
      <c r="E3" s="10" t="s">
        <v>199</v>
      </c>
      <c r="F3" s="10" t="s">
        <v>200</v>
      </c>
    </row>
    <row r="4">
      <c r="A4" s="8" t="s">
        <v>61</v>
      </c>
      <c r="B4" s="9" t="s">
        <v>53</v>
      </c>
      <c r="C4" s="8" t="s">
        <v>201</v>
      </c>
      <c r="D4" s="8" t="s">
        <v>202</v>
      </c>
      <c r="E4" s="8" t="s">
        <v>203</v>
      </c>
      <c r="F4" s="8" t="s">
        <v>204</v>
      </c>
    </row>
    <row r="5">
      <c r="A5" s="10" t="s">
        <v>67</v>
      </c>
      <c r="B5" s="9" t="s">
        <v>53</v>
      </c>
      <c r="C5" s="10" t="s">
        <v>205</v>
      </c>
      <c r="D5" s="10" t="s">
        <v>206</v>
      </c>
      <c r="E5" s="10" t="s">
        <v>207</v>
      </c>
      <c r="F5" s="10" t="s">
        <v>196</v>
      </c>
    </row>
    <row r="6">
      <c r="A6" s="8" t="s">
        <v>73</v>
      </c>
      <c r="B6" s="9" t="s">
        <v>53</v>
      </c>
      <c r="C6" s="8" t="s">
        <v>208</v>
      </c>
      <c r="D6" s="8" t="s">
        <v>209</v>
      </c>
      <c r="E6" s="8" t="s">
        <v>210</v>
      </c>
      <c r="F6" s="8" t="s">
        <v>211</v>
      </c>
    </row>
    <row r="7">
      <c r="A7" s="10" t="s">
        <v>79</v>
      </c>
      <c r="B7" s="11" t="s">
        <v>84</v>
      </c>
      <c r="C7" s="10" t="s">
        <v>212</v>
      </c>
      <c r="D7" s="10" t="s">
        <v>213</v>
      </c>
      <c r="E7" s="10" t="s">
        <v>214</v>
      </c>
      <c r="F7" s="10" t="s">
        <v>215</v>
      </c>
    </row>
    <row r="8">
      <c r="A8" s="8" t="s">
        <v>86</v>
      </c>
      <c r="B8" s="11" t="s">
        <v>84</v>
      </c>
      <c r="C8" s="8" t="s">
        <v>216</v>
      </c>
      <c r="D8" s="8" t="s">
        <v>217</v>
      </c>
      <c r="E8" s="8" t="s">
        <v>218</v>
      </c>
      <c r="F8" s="8" t="s">
        <v>215</v>
      </c>
    </row>
    <row r="9">
      <c r="A9" s="10" t="s">
        <v>92</v>
      </c>
      <c r="B9" s="11" t="s">
        <v>84</v>
      </c>
      <c r="C9" s="10" t="s">
        <v>219</v>
      </c>
      <c r="D9" s="10" t="s">
        <v>220</v>
      </c>
      <c r="E9" s="10" t="s">
        <v>221</v>
      </c>
      <c r="F9" s="10" t="s">
        <v>222</v>
      </c>
    </row>
    <row r="10">
      <c r="A10" s="8" t="s">
        <v>98</v>
      </c>
      <c r="B10" s="11" t="s">
        <v>84</v>
      </c>
      <c r="C10" s="8" t="s">
        <v>223</v>
      </c>
      <c r="D10" s="8" t="s">
        <v>224</v>
      </c>
      <c r="E10" s="8" t="s">
        <v>225</v>
      </c>
      <c r="F10" s="8" t="s">
        <v>196</v>
      </c>
    </row>
    <row r="11">
      <c r="A11" s="10" t="s">
        <v>104</v>
      </c>
      <c r="B11" s="11" t="s">
        <v>84</v>
      </c>
      <c r="C11" s="10" t="s">
        <v>226</v>
      </c>
      <c r="D11" s="10" t="s">
        <v>227</v>
      </c>
      <c r="E11" s="10" t="s">
        <v>228</v>
      </c>
      <c r="F11" s="10" t="s">
        <v>222</v>
      </c>
    </row>
    <row r="12">
      <c r="A12" s="8" t="s">
        <v>110</v>
      </c>
      <c r="B12" s="11" t="s">
        <v>84</v>
      </c>
      <c r="C12" s="8" t="s">
        <v>229</v>
      </c>
      <c r="D12" s="8" t="s">
        <v>230</v>
      </c>
      <c r="E12" s="8" t="s">
        <v>231</v>
      </c>
      <c r="F12" s="8" t="s">
        <v>204</v>
      </c>
    </row>
    <row r="13">
      <c r="A13" s="10" t="s">
        <v>116</v>
      </c>
      <c r="B13" s="11" t="s">
        <v>84</v>
      </c>
      <c r="C13" s="10" t="s">
        <v>232</v>
      </c>
      <c r="D13" s="10" t="s">
        <v>233</v>
      </c>
      <c r="E13" s="10" t="s">
        <v>234</v>
      </c>
      <c r="F13" s="10" t="s">
        <v>222</v>
      </c>
    </row>
    <row r="14">
      <c r="A14" s="8" t="s">
        <v>122</v>
      </c>
      <c r="B14" s="11" t="s">
        <v>84</v>
      </c>
      <c r="C14" s="8" t="s">
        <v>235</v>
      </c>
      <c r="D14" s="8" t="s">
        <v>236</v>
      </c>
      <c r="E14" s="8" t="s">
        <v>237</v>
      </c>
      <c r="F14" s="8" t="s">
        <v>238</v>
      </c>
    </row>
    <row r="15">
      <c r="A15" s="10" t="s">
        <v>128</v>
      </c>
      <c r="B15" s="12" t="s">
        <v>133</v>
      </c>
      <c r="C15" s="10" t="s">
        <v>239</v>
      </c>
      <c r="D15" s="10" t="s">
        <v>240</v>
      </c>
      <c r="E15" s="10" t="s">
        <v>241</v>
      </c>
      <c r="F15" s="10" t="s">
        <v>215</v>
      </c>
    </row>
    <row r="16">
      <c r="A16" s="8" t="s">
        <v>135</v>
      </c>
      <c r="B16" s="12" t="s">
        <v>133</v>
      </c>
      <c r="C16" s="8" t="s">
        <v>242</v>
      </c>
      <c r="D16" s="8" t="s">
        <v>243</v>
      </c>
      <c r="E16" s="8" t="s">
        <v>244</v>
      </c>
      <c r="F16" s="8" t="s">
        <v>245</v>
      </c>
    </row>
    <row r="17">
      <c r="A17" s="10" t="s">
        <v>141</v>
      </c>
      <c r="B17" s="12" t="s">
        <v>133</v>
      </c>
      <c r="C17" s="10" t="s">
        <v>246</v>
      </c>
      <c r="D17" s="10" t="s">
        <v>247</v>
      </c>
      <c r="E17" s="10" t="s">
        <v>248</v>
      </c>
      <c r="F17" s="10" t="s">
        <v>204</v>
      </c>
    </row>
    <row r="18">
      <c r="A18" s="8" t="s">
        <v>147</v>
      </c>
      <c r="B18" s="12" t="s">
        <v>133</v>
      </c>
      <c r="C18" s="8" t="s">
        <v>249</v>
      </c>
      <c r="D18" s="8" t="s">
        <v>250</v>
      </c>
      <c r="E18" s="8" t="s">
        <v>251</v>
      </c>
      <c r="F18" s="8" t="s">
        <v>204</v>
      </c>
    </row>
    <row r="19">
      <c r="A19" s="10" t="s">
        <v>153</v>
      </c>
      <c r="B19" s="12" t="s">
        <v>133</v>
      </c>
      <c r="C19" s="10" t="s">
        <v>252</v>
      </c>
      <c r="D19" s="10" t="s">
        <v>253</v>
      </c>
      <c r="E19" s="10" t="s">
        <v>254</v>
      </c>
      <c r="F19" s="10" t="s">
        <v>222</v>
      </c>
    </row>
    <row r="20">
      <c r="A20" s="8" t="s">
        <v>159</v>
      </c>
      <c r="B20" s="12" t="s">
        <v>133</v>
      </c>
      <c r="C20" s="8" t="s">
        <v>255</v>
      </c>
      <c r="D20" s="8" t="s">
        <v>256</v>
      </c>
      <c r="E20" s="8" t="s">
        <v>257</v>
      </c>
      <c r="F20" s="8" t="s">
        <v>200</v>
      </c>
    </row>
    <row r="21" ht="15.75" customHeight="1">
      <c r="A21" s="10" t="s">
        <v>165</v>
      </c>
      <c r="B21" s="12" t="s">
        <v>133</v>
      </c>
      <c r="C21" s="10" t="s">
        <v>258</v>
      </c>
      <c r="D21" s="10" t="s">
        <v>259</v>
      </c>
      <c r="E21" s="10" t="s">
        <v>260</v>
      </c>
      <c r="F21" s="10" t="s">
        <v>215</v>
      </c>
    </row>
    <row r="22" ht="15.75" customHeight="1">
      <c r="A22" s="8" t="s">
        <v>170</v>
      </c>
      <c r="B22" s="12" t="s">
        <v>133</v>
      </c>
      <c r="C22" s="8" t="s">
        <v>261</v>
      </c>
      <c r="D22" s="8" t="s">
        <v>262</v>
      </c>
      <c r="E22" s="8" t="s">
        <v>263</v>
      </c>
      <c r="F22" s="8" t="s">
        <v>264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2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50.0"/>
    <col customWidth="1" min="3" max="3" width="45.0"/>
    <col customWidth="1" min="4" max="4" width="50.0"/>
    <col customWidth="1" min="5" max="5" width="14.0"/>
    <col customWidth="1" min="6" max="26" width="8.71"/>
  </cols>
  <sheetData>
    <row r="1">
      <c r="A1" s="7" t="s">
        <v>265</v>
      </c>
      <c r="B1" s="7" t="s">
        <v>266</v>
      </c>
      <c r="C1" s="7" t="s">
        <v>267</v>
      </c>
      <c r="D1" s="7" t="s">
        <v>268</v>
      </c>
      <c r="E1" s="7" t="s">
        <v>47</v>
      </c>
    </row>
    <row r="2">
      <c r="A2" s="8">
        <v>1.0</v>
      </c>
      <c r="B2" s="8" t="s">
        <v>269</v>
      </c>
      <c r="C2" s="8" t="s">
        <v>270</v>
      </c>
      <c r="D2" s="8" t="s">
        <v>271</v>
      </c>
      <c r="E2" s="8" t="s">
        <v>272</v>
      </c>
    </row>
    <row r="3">
      <c r="A3" s="10">
        <v>2.0</v>
      </c>
      <c r="B3" s="10" t="s">
        <v>273</v>
      </c>
      <c r="C3" s="14" t="s">
        <v>274</v>
      </c>
      <c r="D3" s="14" t="s">
        <v>275</v>
      </c>
      <c r="E3" s="10" t="s">
        <v>276</v>
      </c>
    </row>
    <row r="4">
      <c r="A4" s="8">
        <v>3.0</v>
      </c>
      <c r="B4" s="8" t="s">
        <v>277</v>
      </c>
      <c r="C4" s="14" t="s">
        <v>278</v>
      </c>
      <c r="D4" s="14" t="s">
        <v>279</v>
      </c>
      <c r="E4" s="8" t="s">
        <v>276</v>
      </c>
    </row>
    <row r="5">
      <c r="A5" s="10">
        <v>4.0</v>
      </c>
      <c r="B5" s="10" t="s">
        <v>280</v>
      </c>
      <c r="C5" s="14" t="s">
        <v>278</v>
      </c>
      <c r="D5" s="14" t="s">
        <v>271</v>
      </c>
      <c r="E5" s="10" t="s">
        <v>276</v>
      </c>
    </row>
    <row r="6">
      <c r="A6" s="8">
        <v>5.0</v>
      </c>
      <c r="B6" s="8" t="s">
        <v>281</v>
      </c>
      <c r="C6" s="14" t="s">
        <v>278</v>
      </c>
      <c r="D6" s="14" t="s">
        <v>282</v>
      </c>
      <c r="E6" s="8" t="s">
        <v>276</v>
      </c>
    </row>
    <row r="7">
      <c r="A7" s="10">
        <v>6.0</v>
      </c>
      <c r="B7" s="10" t="s">
        <v>283</v>
      </c>
      <c r="C7" s="14" t="s">
        <v>284</v>
      </c>
      <c r="D7" s="14" t="s">
        <v>285</v>
      </c>
      <c r="E7" s="10" t="s">
        <v>286</v>
      </c>
    </row>
    <row r="9">
      <c r="A9" s="15" t="s">
        <v>287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E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55.0"/>
    <col customWidth="1" min="4" max="4" width="32.0"/>
    <col customWidth="1" min="5" max="5" width="60.0"/>
    <col customWidth="1" min="6" max="26" width="8.71"/>
  </cols>
  <sheetData>
    <row r="1">
      <c r="A1" s="7" t="s">
        <v>288</v>
      </c>
      <c r="B1" s="7" t="s">
        <v>289</v>
      </c>
      <c r="C1" s="7" t="s">
        <v>290</v>
      </c>
      <c r="D1" s="7" t="s">
        <v>291</v>
      </c>
      <c r="E1" s="7" t="s">
        <v>292</v>
      </c>
    </row>
    <row r="2">
      <c r="A2" s="8" t="s">
        <v>293</v>
      </c>
      <c r="B2" s="8" t="s">
        <v>294</v>
      </c>
      <c r="C2" s="8" t="s">
        <v>295</v>
      </c>
      <c r="D2" s="8" t="s">
        <v>296</v>
      </c>
      <c r="E2" s="8" t="s">
        <v>297</v>
      </c>
    </row>
    <row r="3">
      <c r="A3" s="10" t="s">
        <v>298</v>
      </c>
      <c r="B3" s="10" t="s">
        <v>294</v>
      </c>
      <c r="C3" s="10" t="s">
        <v>299</v>
      </c>
      <c r="D3" s="10" t="s">
        <v>300</v>
      </c>
      <c r="E3" s="10" t="s">
        <v>301</v>
      </c>
    </row>
    <row r="4">
      <c r="A4" s="8" t="s">
        <v>302</v>
      </c>
      <c r="B4" s="8" t="s">
        <v>303</v>
      </c>
      <c r="C4" s="8" t="s">
        <v>304</v>
      </c>
      <c r="D4" s="8" t="s">
        <v>305</v>
      </c>
      <c r="E4" s="8" t="s">
        <v>306</v>
      </c>
    </row>
    <row r="5">
      <c r="A5" s="10" t="s">
        <v>302</v>
      </c>
      <c r="B5" s="10" t="s">
        <v>307</v>
      </c>
      <c r="C5" s="10" t="s">
        <v>308</v>
      </c>
      <c r="D5" s="10" t="s">
        <v>309</v>
      </c>
      <c r="E5" s="10" t="s">
        <v>310</v>
      </c>
    </row>
    <row r="6">
      <c r="A6" s="8" t="s">
        <v>311</v>
      </c>
      <c r="B6" s="8" t="s">
        <v>303</v>
      </c>
      <c r="C6" s="8" t="s">
        <v>312</v>
      </c>
      <c r="D6" s="8" t="s">
        <v>313</v>
      </c>
      <c r="E6" s="8" t="s">
        <v>314</v>
      </c>
    </row>
    <row r="7">
      <c r="A7" s="10" t="s">
        <v>311</v>
      </c>
      <c r="B7" s="10" t="s">
        <v>307</v>
      </c>
      <c r="C7" s="10" t="s">
        <v>315</v>
      </c>
      <c r="D7" s="10" t="s">
        <v>316</v>
      </c>
      <c r="E7" s="10" t="s">
        <v>317</v>
      </c>
    </row>
    <row r="8">
      <c r="A8" s="8" t="s">
        <v>75</v>
      </c>
      <c r="B8" s="8" t="s">
        <v>318</v>
      </c>
      <c r="C8" s="8" t="s">
        <v>319</v>
      </c>
      <c r="D8" s="8" t="s">
        <v>320</v>
      </c>
      <c r="E8" s="8" t="s">
        <v>321</v>
      </c>
    </row>
    <row r="9">
      <c r="A9" s="10" t="s">
        <v>322</v>
      </c>
      <c r="B9" s="10" t="s">
        <v>323</v>
      </c>
      <c r="C9" s="10" t="s">
        <v>324</v>
      </c>
      <c r="D9" s="10" t="s">
        <v>325</v>
      </c>
      <c r="E9" s="10" t="s">
        <v>326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9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6.0"/>
    <col customWidth="1" min="3" max="3" width="62.0"/>
    <col customWidth="1" min="4" max="4" width="30.0"/>
    <col customWidth="1" min="5" max="5" width="34.0"/>
    <col customWidth="1" min="6" max="6" width="12.0"/>
    <col customWidth="1" min="7" max="26" width="8.71"/>
  </cols>
  <sheetData>
    <row r="1">
      <c r="A1" s="7" t="s">
        <v>327</v>
      </c>
      <c r="B1" s="7" t="s">
        <v>328</v>
      </c>
      <c r="C1" s="7" t="s">
        <v>329</v>
      </c>
      <c r="D1" s="7" t="s">
        <v>330</v>
      </c>
      <c r="E1" s="7" t="s">
        <v>331</v>
      </c>
      <c r="F1" s="7" t="s">
        <v>47</v>
      </c>
    </row>
    <row r="2">
      <c r="A2" s="8" t="s">
        <v>332</v>
      </c>
      <c r="B2" s="8" t="s">
        <v>333</v>
      </c>
      <c r="C2" s="8" t="s">
        <v>334</v>
      </c>
      <c r="D2" s="8" t="s">
        <v>335</v>
      </c>
      <c r="E2" s="8" t="s">
        <v>336</v>
      </c>
      <c r="F2" s="8" t="s">
        <v>337</v>
      </c>
    </row>
    <row r="3">
      <c r="A3" s="10" t="s">
        <v>338</v>
      </c>
      <c r="B3" s="10" t="s">
        <v>339</v>
      </c>
      <c r="C3" s="10" t="s">
        <v>340</v>
      </c>
      <c r="D3" s="10" t="s">
        <v>341</v>
      </c>
      <c r="E3" s="10" t="s">
        <v>342</v>
      </c>
      <c r="F3" s="10" t="s">
        <v>337</v>
      </c>
    </row>
    <row r="4">
      <c r="A4" s="8" t="s">
        <v>343</v>
      </c>
      <c r="B4" s="8" t="s">
        <v>344</v>
      </c>
      <c r="C4" s="8" t="s">
        <v>345</v>
      </c>
      <c r="D4" s="8" t="s">
        <v>346</v>
      </c>
      <c r="E4" s="8" t="s">
        <v>347</v>
      </c>
      <c r="F4" s="8" t="s">
        <v>337</v>
      </c>
    </row>
    <row r="5">
      <c r="A5" s="10" t="s">
        <v>332</v>
      </c>
      <c r="B5" s="10" t="s">
        <v>348</v>
      </c>
      <c r="C5" s="10" t="s">
        <v>349</v>
      </c>
      <c r="D5" s="10" t="s">
        <v>350</v>
      </c>
      <c r="E5" s="10" t="s">
        <v>351</v>
      </c>
      <c r="F5" s="10" t="s">
        <v>337</v>
      </c>
    </row>
    <row r="6">
      <c r="A6" s="8" t="s">
        <v>352</v>
      </c>
      <c r="B6" s="8" t="s">
        <v>353</v>
      </c>
      <c r="C6" s="8" t="s">
        <v>354</v>
      </c>
      <c r="D6" s="8" t="s">
        <v>355</v>
      </c>
      <c r="E6" s="8" t="s">
        <v>356</v>
      </c>
      <c r="F6" s="8" t="s">
        <v>337</v>
      </c>
    </row>
    <row r="7">
      <c r="A7" s="10" t="s">
        <v>357</v>
      </c>
      <c r="B7" s="10" t="s">
        <v>358</v>
      </c>
      <c r="C7" s="10" t="s">
        <v>359</v>
      </c>
      <c r="D7" s="10" t="s">
        <v>360</v>
      </c>
      <c r="E7" s="10" t="s">
        <v>361</v>
      </c>
      <c r="F7" s="10" t="s">
        <v>337</v>
      </c>
    </row>
    <row r="8">
      <c r="A8" s="8" t="s">
        <v>362</v>
      </c>
      <c r="B8" s="8" t="s">
        <v>284</v>
      </c>
      <c r="C8" s="8" t="s">
        <v>363</v>
      </c>
      <c r="D8" s="8" t="s">
        <v>284</v>
      </c>
      <c r="E8" s="8" t="s">
        <v>284</v>
      </c>
      <c r="F8" s="8" t="s">
        <v>364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50.0"/>
    <col customWidth="1" min="4" max="4" width="45.0"/>
    <col customWidth="1" min="5" max="5" width="12.0"/>
    <col customWidth="1" min="6" max="6" width="10.0"/>
    <col customWidth="1" min="7" max="26" width="8.71"/>
  </cols>
  <sheetData>
    <row r="1">
      <c r="A1" s="7" t="s">
        <v>265</v>
      </c>
      <c r="B1" s="7" t="s">
        <v>365</v>
      </c>
      <c r="C1" s="7" t="s">
        <v>366</v>
      </c>
      <c r="D1" s="7" t="s">
        <v>367</v>
      </c>
      <c r="E1" s="7" t="s">
        <v>368</v>
      </c>
      <c r="F1" s="7" t="s">
        <v>47</v>
      </c>
    </row>
    <row r="2">
      <c r="A2" s="8">
        <v>1.0</v>
      </c>
      <c r="B2" s="8" t="s">
        <v>369</v>
      </c>
      <c r="C2" s="8" t="s">
        <v>370</v>
      </c>
      <c r="D2" s="8" t="s">
        <v>371</v>
      </c>
      <c r="E2" s="8" t="s">
        <v>372</v>
      </c>
      <c r="F2" s="8" t="s">
        <v>373</v>
      </c>
    </row>
    <row r="3">
      <c r="A3" s="10">
        <v>2.0</v>
      </c>
      <c r="B3" s="10" t="s">
        <v>374</v>
      </c>
      <c r="C3" s="10" t="s">
        <v>375</v>
      </c>
      <c r="D3" s="10" t="s">
        <v>376</v>
      </c>
      <c r="E3" s="10" t="s">
        <v>372</v>
      </c>
      <c r="F3" s="10" t="s">
        <v>373</v>
      </c>
    </row>
    <row r="4">
      <c r="A4" s="8">
        <v>3.0</v>
      </c>
      <c r="B4" s="8" t="s">
        <v>377</v>
      </c>
      <c r="C4" s="8" t="s">
        <v>378</v>
      </c>
      <c r="D4" s="8" t="s">
        <v>379</v>
      </c>
      <c r="E4" s="8" t="s">
        <v>372</v>
      </c>
      <c r="F4" s="8" t="s">
        <v>373</v>
      </c>
    </row>
    <row r="5">
      <c r="A5" s="10">
        <v>4.0</v>
      </c>
      <c r="B5" s="10" t="s">
        <v>380</v>
      </c>
      <c r="C5" s="10" t="s">
        <v>381</v>
      </c>
      <c r="D5" s="10" t="s">
        <v>382</v>
      </c>
      <c r="E5" s="10" t="s">
        <v>372</v>
      </c>
      <c r="F5" s="10" t="s">
        <v>373</v>
      </c>
    </row>
    <row r="6">
      <c r="A6" s="8">
        <v>5.0</v>
      </c>
      <c r="B6" s="8" t="s">
        <v>383</v>
      </c>
      <c r="C6" s="8" t="s">
        <v>384</v>
      </c>
      <c r="D6" s="8" t="s">
        <v>385</v>
      </c>
      <c r="E6" s="8" t="s">
        <v>386</v>
      </c>
      <c r="F6" s="8" t="s">
        <v>373</v>
      </c>
    </row>
    <row r="7">
      <c r="A7" s="10">
        <v>6.0</v>
      </c>
      <c r="B7" s="10" t="s">
        <v>387</v>
      </c>
      <c r="C7" s="10" t="s">
        <v>388</v>
      </c>
      <c r="D7" s="10" t="s">
        <v>389</v>
      </c>
      <c r="E7" s="10" t="s">
        <v>372</v>
      </c>
      <c r="F7" s="10" t="s">
        <v>373</v>
      </c>
    </row>
    <row r="8">
      <c r="A8" s="8">
        <v>7.0</v>
      </c>
      <c r="B8" s="8" t="s">
        <v>390</v>
      </c>
      <c r="C8" s="8" t="s">
        <v>391</v>
      </c>
      <c r="D8" s="8" t="s">
        <v>392</v>
      </c>
      <c r="E8" s="8" t="s">
        <v>372</v>
      </c>
      <c r="F8" s="8" t="s">
        <v>373</v>
      </c>
    </row>
    <row r="9">
      <c r="A9" s="10">
        <v>8.0</v>
      </c>
      <c r="B9" s="10" t="s">
        <v>393</v>
      </c>
      <c r="C9" s="10" t="s">
        <v>394</v>
      </c>
      <c r="D9" s="10" t="s">
        <v>395</v>
      </c>
      <c r="E9" s="10" t="s">
        <v>372</v>
      </c>
      <c r="F9" s="10" t="s">
        <v>373</v>
      </c>
    </row>
    <row r="10">
      <c r="A10" s="8">
        <v>9.0</v>
      </c>
      <c r="B10" s="8" t="s">
        <v>396</v>
      </c>
      <c r="C10" s="8" t="s">
        <v>397</v>
      </c>
      <c r="D10" s="8" t="s">
        <v>398</v>
      </c>
      <c r="E10" s="8" t="s">
        <v>372</v>
      </c>
      <c r="F10" s="8" t="s">
        <v>373</v>
      </c>
    </row>
    <row r="11">
      <c r="A11" s="10">
        <v>10.0</v>
      </c>
      <c r="B11" s="10" t="s">
        <v>399</v>
      </c>
      <c r="C11" s="10" t="s">
        <v>400</v>
      </c>
      <c r="D11" s="10" t="s">
        <v>401</v>
      </c>
      <c r="E11" s="10" t="s">
        <v>372</v>
      </c>
      <c r="F11" s="10" t="s">
        <v>373</v>
      </c>
    </row>
    <row r="12">
      <c r="A12" s="8">
        <v>11.0</v>
      </c>
      <c r="B12" s="8" t="s">
        <v>402</v>
      </c>
      <c r="C12" s="8" t="s">
        <v>403</v>
      </c>
      <c r="D12" s="8" t="s">
        <v>404</v>
      </c>
      <c r="E12" s="8" t="s">
        <v>386</v>
      </c>
      <c r="F12" s="8" t="s">
        <v>373</v>
      </c>
    </row>
    <row r="13">
      <c r="A13" s="10">
        <v>12.0</v>
      </c>
      <c r="B13" s="10" t="s">
        <v>405</v>
      </c>
      <c r="C13" s="10" t="s">
        <v>406</v>
      </c>
      <c r="D13" s="10" t="s">
        <v>407</v>
      </c>
      <c r="E13" s="10" t="s">
        <v>386</v>
      </c>
      <c r="F13" s="10" t="s">
        <v>373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3"/>
  <printOptions/>
  <pageMargins bottom="1.0" footer="0.0" header="0.0" left="0.75" right="0.75" top="1.0"/>
  <pageSetup paperSize="9" orientation="portrait"/>
  <drawing r:id="rId1"/>
</worksheet>
</file>